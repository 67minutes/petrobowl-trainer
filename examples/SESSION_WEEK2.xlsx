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QUESTION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<sst xmlns="http://schemas.openxmlformats.org/spreadsheetml/2006/main" count="214" uniqueCount="142">
  <si>
    <t xml:space="preserve">Week 2 Toss-Up</t>
  </si>
  <si>
    <t xml:space="preserve">JANGAN DILIAT PESERTA</t>
  </si>
  <si>
    <t xml:space="preserve">NO</t>
  </si>
  <si>
    <t xml:space="preserve">Question</t>
  </si>
  <si>
    <t xml:space="preserve">Answer</t>
  </si>
  <si>
    <t xml:space="preserve">Topic</t>
  </si>
  <si>
    <t xml:space="preserve">Person</t>
  </si>
  <si>
    <t xml:space="preserve">Buzzer</t>
  </si>
  <si>
    <t xml:space="preserve">BUZZER SITE</t>
  </si>
  <si>
    <t xml:space="preserve">https://buzzin.live</t>
  </si>
  <si>
    <t xml:space="preserve">Player</t>
  </si>
  <si>
    <t xml:space="preserve">Correct</t>
  </si>
  <si>
    <t xml:space="preserve">On Topic</t>
  </si>
  <si>
    <t xml:space="preserve">Out of Topic</t>
  </si>
  <si>
    <t xml:space="preserve">Missed Topic</t>
  </si>
  <si>
    <t xml:space="preserve">Score</t>
  </si>
  <si>
    <t xml:space="preserve">Bonus</t>
  </si>
  <si>
    <t xml:space="preserve">Total</t>
  </si>
  <si>
    <t xml:space="preserve">SOAL</t>
  </si>
  <si>
    <t xml:space="preserve">NON SOAL</t>
  </si>
  <si>
    <t xml:space="preserve">squeeze manifold</t>
  </si>
  <si>
    <t xml:space="preserve">A manifold connected within the surface treating lines that is configured to enable control and routing of fluids during a squeeze operation.</t>
  </si>
  <si>
    <t xml:space="preserve">Well Intervention</t>
  </si>
  <si>
    <t xml:space="preserve">Anggitya</t>
  </si>
  <si>
    <t xml:space="preserve">load oil</t>
  </si>
  <si>
    <t xml:space="preserve">Oil pumped into a wellbore in preparation for, or as part of, a treatment.</t>
  </si>
  <si>
    <t xml:space="preserve">Jak</t>
  </si>
  <si>
    <t xml:space="preserve">In energy statistics, estimates of the change in global crude oil stocks in transit at sea between producing and consuming countries or held in moored tankers used for temporary storage.</t>
  </si>
  <si>
    <t xml:space="preserve">Floating storage/oil in transit</t>
  </si>
  <si>
    <t xml:space="preserve">Renewables (IEA + EIA)</t>
  </si>
  <si>
    <t xml:space="preserve">Maulidan</t>
  </si>
  <si>
    <t xml:space="preserve">Who was the man thas had what he called his "shining star," his company's richly prolific oil concession in Libya</t>
  </si>
  <si>
    <t xml:space="preserve">Dr. Armand Hammer, chairman of Occidental Petroleum</t>
  </si>
  <si>
    <t xml:space="preserve">The Prize</t>
  </si>
  <si>
    <t xml:space="preserve">Steven</t>
  </si>
  <si>
    <t xml:space="preserve">A test to measure static filtration behavior of water mud or oil mud at elevated temperature, up to about 380Â°F [193Â°C] maximum (450Â°F [227Â°C] maximum if a special cell is used), usually according to the specifications of API.</t>
  </si>
  <si>
    <t xml:space="preserve">Static Filter Press = HPHT Filtration Test = High Pressure High Temperature Filtration Test</t>
  </si>
  <si>
    <t xml:space="preserve">Drilling Fluid</t>
  </si>
  <si>
    <t xml:space="preserve">Arising from human activity. For example, anthropogenic greenhouse gas emissions are those emissions that would not have arisen had it not been for human activities.</t>
  </si>
  <si>
    <t xml:space="preserve">Anthropogenic</t>
  </si>
  <si>
    <t xml:space="preserve">operating interest</t>
  </si>
  <si>
    <t xml:space="preserve">Ownership by a lessee, company or working interest owner, which is burdened with the costs of leasing the acreage and drilling and operating a well</t>
  </si>
  <si>
    <t xml:space="preserve">OnG Business</t>
  </si>
  <si>
    <t xml:space="preserve">chemical wash</t>
  </si>
  <si>
    <t xml:space="preserve">A fluid, generally water-based, to thin and disperse mud in preparation for cementing</t>
  </si>
  <si>
    <t xml:space="preserve">Well Completion</t>
  </si>
  <si>
    <t xml:space="preserve">The process of a mud becoming "gelled-up" or developing high gel strength</t>
  </si>
  <si>
    <t xml:space="preserve">Gelation</t>
  </si>
  <si>
    <t xml:space="preserve">The act of modeling a reservoir using knowledge of the facies that make up the reservoir and the depositional environments that the facies represent.</t>
  </si>
  <si>
    <t xml:space="preserve">Facies Modeling</t>
  </si>
  <si>
    <t xml:space="preserve">Reservoir Characterization</t>
  </si>
  <si>
    <t xml:space="preserve">The square root of the mean squared error, representing average magnitude of prediction errors.</t>
  </si>
  <si>
    <t xml:space="preserve">Root Mean Squared Error</t>
  </si>
  <si>
    <t xml:space="preserve">Machine Learning (GPT)</t>
  </si>
  <si>
    <t xml:space="preserve">combi BOP</t>
  </si>
  <si>
    <t xml:space="preserve">A type of blowout preventer (BOP) in which each ram set combines two conventional ram functions, such as blind/shear and pipe/slip.</t>
  </si>
  <si>
    <t xml:space="preserve">sealbore packer</t>
  </si>
  <si>
    <t xml:space="preserve">A type of production packer that incorporates a sealbore that accepts a seal assembly fitted to the bottom of the production tubing.</t>
  </si>
  <si>
    <t xml:space="preserve">An algorithm that makes the locally optimal choice at each step with the hope of finding a global optimum.</t>
  </si>
  <si>
    <t xml:space="preserve">Greedy Algorithm</t>
  </si>
  <si>
    <t xml:space="preserve">A technique for focusing an electrode device based on maintaining a spherical equipotential surface centered at the main current electrode</t>
  </si>
  <si>
    <t xml:space="preserve">spherical focusing</t>
  </si>
  <si>
    <t xml:space="preserve">Form Evaluation</t>
  </si>
  <si>
    <t xml:space="preserve">The original survey of a set of surveys covering the same area but acquired over a period of time. In four-dimensional seismic data, it is the first seismic survey, which is then compared to subsequent surveys.</t>
  </si>
  <si>
    <t xml:space="preserve">baseline</t>
  </si>
  <si>
    <t xml:space="preserve">Geophysics</t>
  </si>
  <si>
    <t xml:space="preserve">The daily cost to the operator of renting the drilling rig and the associated costs of personnel and routine supplies. This cost may or may not include fuel, and usually does not include capital goods, such as casing and wellheads, or special services, such as logging or cementing.</t>
  </si>
  <si>
    <t xml:space="preserve">day rate</t>
  </si>
  <si>
    <t xml:space="preserve">Drilling</t>
  </si>
  <si>
    <t xml:space="preserve">A wireline log of the yields of different elements in the formation, measured using induced gamma ray spectroscopy with a pulsed neutron generator</t>
  </si>
  <si>
    <t xml:space="preserve">pulsed neutron spectroscopy log</t>
  </si>
  <si>
    <t xml:space="preserve">The efficiency of a heat pump, that is, the electrical energy to operate it, is directly related to temperatures between which it operates. Geothermal heat pumps are more efficient than conventional heat pumps or air conditioners that use the outdoor air since the ground or ground water a few feet below the earth's surface remains relatively constant throughout the year. It is more efficient in the winter to draw heat from the relatively warm ground than from the atmosphere where the air temperature is much colder, and in summer transfer waste heat to the relatively cool ground than to hotter air. Geothermal heat pumps are generally more expensive ($2,000-$5,000) to install than outside air heat pumps. However, depending on the location geothermal heat pumps can reduce energy consumption (operating cost) and correspondingly, emissions by more than 20 percent compared to high-efficiency outside air heat pumps. Geothermal heat pumps also use the waste heat from air-conditioning to provide free hot water heating in the summer.</t>
  </si>
  <si>
    <t xml:space="preserve">Heat pump efficiency</t>
  </si>
  <si>
    <t xml:space="preserve">Saw dust compressed into uniform diameter pellets to be burned in a heating stove.</t>
  </si>
  <si>
    <t xml:space="preserve">Wood pellets</t>
  </si>
  <si>
    <t xml:space="preserve">A turbine that uses water pressure to rotate its blades; the primary types are the Pelton wheel, for high heads (pressure); the Francis turbine, for low to medium heads; and the Kaplan for a wide range of heads. Primarily used to power an electric generator.</t>
  </si>
  <si>
    <t xml:space="preserve">Water turbine</t>
  </si>
  <si>
    <t xml:space="preserve">in what three bases ways oil was bought?</t>
  </si>
  <si>
    <t xml:space="preserve">Spot,regular, and futures</t>
  </si>
  <si>
    <t xml:space="preserve">A gas described by an equation of state of the form pV = znRT, where z is the gas deviation factor dependent on pressure, temperature and gas composition.</t>
  </si>
  <si>
    <t xml:space="preserve">nonideal gas</t>
  </si>
  <si>
    <t xml:space="preserve">Well Test</t>
  </si>
  <si>
    <t xml:space="preserve">paid up lease</t>
  </si>
  <si>
    <t xml:space="preserve">An oil and gas lease in which delay rentals for the entire primary term are paid in advance with the bonus consideration</t>
  </si>
  <si>
    <t xml:space="preserve">exploration play/ play</t>
  </si>
  <si>
    <t xml:space="preserve">0.3240099205</t>
  </si>
  <si>
    <t xml:space="preserve">Shale Gas</t>
  </si>
  <si>
    <t xml:space="preserve">A lignosulfonate that has been treated by mixing or reacting into the molecular structure some form of chromium (either chromate or chromic salt)</t>
  </si>
  <si>
    <t xml:space="preserve">Chrome lignosulfonate</t>
  </si>
  <si>
    <t xml:space="preserve">A property of semivariogram models. Any linear combination of admissible models with positive coefficients can be nested or added together.</t>
  </si>
  <si>
    <t xml:space="preserve">Additivity</t>
  </si>
  <si>
    <t xml:space="preserve">wellhead</t>
  </si>
  <si>
    <t xml:space="preserve">The surface termination of a wellbore that incorporates facilities for installing casing hangers during the well construction phase</t>
  </si>
  <si>
    <t xml:space="preserve">Covers the use of energy by transformation industries and the energy losses in converting primary energy into a form that can be used in the final consuming sectors. It includes losses in low-emissions hydrogen and hydrogen-based fuels production, bioenergy processing, gas works, petroleum refineries, and coal and gas transformation and liquefaction. It also includes energy own use in coal mines, in oil and gas extraction and in electricity and heat production. Transfers and statistical differences are also included in this category. Fuel transformation in blast furnaces and coke ovens are not accounted for in the other energy sector category.</t>
  </si>
  <si>
    <t xml:space="preserve">Other energy sector</t>
  </si>
  <si>
    <t xml:space="preserve">The manufacturer of the original components in a finished product, not the aftermarket replacement parts. The term is used differently in different sectors and sometimes refers to manufacturers that make products to be sold under a client's brand name, for example computers. In the automotive sector it usually refers to the makers of the original vehicle’s parts, and the major global OEMs are also the companies behind the highest-profile brand names.</t>
  </si>
  <si>
    <t xml:space="preserve">Original equipment manufacturer</t>
  </si>
  <si>
    <t xml:space="preserve">The top of the interval recorded on the log, or the shallowest point at which the log readings are valid</t>
  </si>
  <si>
    <t xml:space="preserve">top log interval</t>
  </si>
  <si>
    <t xml:space="preserve">oil mining</t>
  </si>
  <si>
    <t xml:space="preserve">A strip-mining process involving the removal and subsequent processing of tar sand from shallow reservoirs containing heavy, viscous oil</t>
  </si>
  <si>
    <t xml:space="preserve">EOR</t>
  </si>
  <si>
    <t xml:space="preserve">Crude oil with a sulphur content of 1-2% by mass. See also API gravity, sweet crude and total acid number.</t>
  </si>
  <si>
    <t xml:space="preserve">Sour crude</t>
  </si>
  <si>
    <t xml:space="preserve">tubing broach</t>
  </si>
  <si>
    <t xml:space="preserve">A downhole tool used to repair damaged or collapsed tubing.</t>
  </si>
  <si>
    <t xml:space="preserve">composite stream</t>
  </si>
  <si>
    <t xml:space="preserve">The flow of different fluids such as oil, gas or water, in a single production stream</t>
  </si>
  <si>
    <t xml:space="preserve">Production Test</t>
  </si>
  <si>
    <t xml:space="preserve">The change in pore pressure per unit depth, typically in units of pounds per square inch per foot (psi/ft) or kilopascals per meter (kPa/m)</t>
  </si>
  <si>
    <t xml:space="preserve">geopresure gradient</t>
  </si>
  <si>
    <t xml:space="preserve">Geology</t>
  </si>
  <si>
    <t xml:space="preserve">A type of nuclear fission reactor with a graphite moderator and carbon dioxide coolant. Designed and operated in the United Kingdom, and developed from the Magnox reactor. Retains the graphite moderator and carbon dioxide coolant of the Magnox design, but increased the cooling gas temperature to create more efficient steam conditions. The final steam conditions at the boiler stop valve are similar to those in a conventional coal-fired power station, allowing for the use of the same turbo-generator power plant. The first prototype became operational in 1962 at Windscale, but the first AGR did not become commercially operational until 1976. In total, 14 AGRs were built.</t>
  </si>
  <si>
    <t xml:space="preserve">Advanced gas-cooled reactor</t>
  </si>
  <si>
    <t xml:space="preserve">environmental corrections</t>
  </si>
  <si>
    <t xml:space="preserve">The adjustments that must be made to log measurements to bring them back to the standard conditions for which the tool has been characterized</t>
  </si>
  <si>
    <t xml:space="preserve">A frequency- and range-dependent area of a reflector from which most of the energy of a reflection is returned and arrival times differ by less than half a period from the first break, named for French physicist Augustin-Jean Fresnel (1788 to 1827). Waves with such arrival times will interfere constructively and so be detected as a single arrival. Subsurface features smaller than the Fresnel zone usually cannot be detected using seismic waves.</t>
  </si>
  <si>
    <t xml:space="preserve">Fresnel zone</t>
  </si>
  <si>
    <t xml:space="preserve">washover shoe/mill shoe</t>
  </si>
  <si>
    <t xml:space="preserve">A downhole tool routinely used in fishing operations to prepare the top and outside surface of a fish, generally to allow an overshot or similar fishing tool to engage cleanly on the fish.</t>
  </si>
  <si>
    <t xml:space="preserve">The application of plant and animal fossils to date and correlate strata in order to elucidate Earth history, combining the principles of paleontology and stratigraphy</t>
  </si>
  <si>
    <t xml:space="preserve">biostratigraphy</t>
  </si>
  <si>
    <t xml:space="preserve">A graduated cup used to take samples and to crudely measure volumes of mud for testing at the rig</t>
  </si>
  <si>
    <t xml:space="preserve">Mud cup</t>
  </si>
  <si>
    <t xml:space="preserve">Pertaining to a major episode of plate tectonic activity in which lithospheric plates collide and produce mountain belts, in some cases including the formation of subduction zones and igneous activity</t>
  </si>
  <si>
    <t xml:space="preserve">orogenic</t>
  </si>
  <si>
    <t xml:space="preserve">In 1947, what company buy Big Inch and Little Inch pipelines and then turned it into natural gas pipelines ?</t>
  </si>
  <si>
    <t xml:space="preserve">Texas Eastern Transmission Company</t>
  </si>
  <si>
    <t xml:space="preserve">A means of reducing nitrogen oxide emissions from combustion. Ammonia or urea are added to the flue gas with a catalyst. In the case of urea, nitrogen and CO2 are produced and emitted. While originally developed for large boilers, it is now applied to diesel engines, including on ships and in cars.</t>
  </si>
  <si>
    <t xml:space="preserve">Selective catalytic reduction (SCR)</t>
  </si>
  <si>
    <t xml:space="preserve">Any relatively small quantity (less than 200 bbl) of a special blend of drilling fluid to accomplish a specific task that the regular drilling fluid cannot perform.</t>
  </si>
  <si>
    <t xml:space="preserve">pill</t>
  </si>
  <si>
    <t xml:space="preserve">vertical severance</t>
  </si>
  <si>
    <t xml:space="preserve">A method to convey or reserve oil, gas, or mineral rights in a defined portion of land such as the Northwest Quarter of a tract</t>
  </si>
  <si>
    <t xml:space="preserve">dry bed dehydrator</t>
  </si>
  <si>
    <t xml:space="preserve">A device that removes water and water vapor from a gas stream using two or more beds of solid desiccants, such as silica gel or calcium chloride [CaCl2]</t>
  </si>
  <si>
    <t xml:space="preserve">Production Facilities</t>
  </si>
  <si>
    <t xml:space="preserve">A wind turbine with blades rotating on a horizontal axis, the most common type.</t>
  </si>
  <si>
    <t xml:space="preserve">128. Horizontal Axis Wind Turbine (HAWT)</t>
  </si>
  <si>
    <t xml:space="preserve">Renewables (GPT)</t>
  </si>
  <si>
    <t xml:space="preserve">Expenses associated with producing solar cells.</t>
  </si>
  <si>
    <t xml:space="preserve">380. Solar Cell Manufacturing Cost</t>
  </si>
</sst>
</file>

<file path=xl/styles.xml><?xml version="1.0" encoding="utf-8"?>
<styleSheet xmlns="http://schemas.openxmlformats.org/spreadsheetml/2006/main">
  <numFmts count="2">
    <numFmt numFmtId="164" formatCode="General"/>
    <numFmt numFmtId="165" formatCode="General"/>
  </numFmts>
  <fonts count="8">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2"/>
      <color rgb="FFFF0000"/>
      <name val="Arial"/>
      <family val="0"/>
      <charset val="1"/>
    </font>
    <font>
      <b val="true"/>
      <sz val="11"/>
      <color rgb="FFFFFFFF"/>
      <name val="Arial"/>
      <family val="0"/>
      <charset val="1"/>
    </font>
    <font>
      <b val="true"/>
      <sz val="11"/>
      <name val="Arial"/>
      <family val="0"/>
      <charset val="1"/>
    </font>
  </fonts>
  <fills count="5">
    <fill>
      <patternFill patternType="none"/>
    </fill>
    <fill>
      <patternFill patternType="gray125"/>
    </fill>
    <fill>
      <patternFill patternType="solid">
        <fgColor rgb="FF2F5496"/>
        <bgColor rgb="FF666699"/>
      </patternFill>
    </fill>
    <fill>
      <patternFill patternType="solid">
        <fgColor rgb="FF548235"/>
        <bgColor rgb="FF339966"/>
      </patternFill>
    </fill>
    <fill>
      <patternFill patternType="solid">
        <fgColor rgb="FFE2EFDA"/>
        <bgColor rgb="FFFFFFCC"/>
      </patternFill>
    </fill>
  </fills>
  <borders count="2">
    <border diagonalUp="false" diagonalDown="false">
      <left/>
      <right/>
      <top/>
      <bottom/>
      <diagonal/>
    </border>
    <border diagonalUp="false" diagonalDown="false">
      <left/>
      <right/>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5" fontId="0" fillId="4" borderId="0" xfId="0" applyFont="fals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496"/>
    <pageSetUpPr fitToPage="false"/>
  </sheetPr>
  <dimension ref="B1:V5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0" width="5"/>
    <col collapsed="false" customWidth="true" hidden="false" outlineLevel="0" max="3" min="3" style="0" width="60"/>
    <col collapsed="false" customWidth="true" hidden="false" outlineLevel="0" max="4" min="4" style="0" width="25"/>
    <col collapsed="false" customWidth="true" hidden="false" outlineLevel="0" max="5" min="5" style="0" width="22"/>
    <col collapsed="false" customWidth="true" hidden="false" outlineLevel="0" max="7" min="6" style="0" width="12"/>
    <col collapsed="false" customWidth="true" hidden="false" outlineLevel="0" max="12" min="12" style="0" width="12"/>
    <col collapsed="false" customWidth="true" hidden="false" outlineLevel="0" max="14" min="13" style="0" width="10"/>
    <col collapsed="false" customWidth="true" hidden="false" outlineLevel="0" max="16" min="15" style="0" width="12"/>
    <col collapsed="false" customWidth="true" hidden="false" outlineLevel="0" max="19" min="17" style="0" width="10"/>
    <col collapsed="false" customWidth="true" hidden="false" outlineLevel="0" max="21" min="21" style="0" width="8"/>
    <col collapsed="false" customWidth="true" hidden="false" outlineLevel="0" max="22" min="22" style="0" width="10"/>
  </cols>
  <sheetData>
    <row r="1" customFormat="false" ht="17.35" hidden="false" customHeight="false" outlineLevel="0" collapsed="false">
      <c r="B1" s="1" t="s">
        <v>0</v>
      </c>
    </row>
    <row r="2" customFormat="false" ht="15" hidden="false" customHeight="false" outlineLevel="0" collapsed="false">
      <c r="B2" s="2" t="s">
        <v>1</v>
      </c>
    </row>
    <row r="3" customFormat="false" ht="15" hidden="false" customHeight="false" outlineLevel="0" collapsed="false">
      <c r="B3" s="3" t="s">
        <v>2</v>
      </c>
      <c r="C3" s="3" t="s">
        <v>3</v>
      </c>
      <c r="D3" s="3" t="s">
        <v>4</v>
      </c>
      <c r="E3" s="3" t="s">
        <v>5</v>
      </c>
      <c r="F3" s="3" t="s">
        <v>6</v>
      </c>
      <c r="G3" s="3" t="s">
        <v>7</v>
      </c>
      <c r="I3" s="4" t="s">
        <v>8</v>
      </c>
      <c r="J3" s="4" t="s">
        <v>9</v>
      </c>
      <c r="L3" s="5" t="s">
        <v>10</v>
      </c>
      <c r="M3" s="5" t="s">
        <v>11</v>
      </c>
      <c r="N3" s="5" t="s">
        <v>12</v>
      </c>
      <c r="O3" s="5" t="s">
        <v>13</v>
      </c>
      <c r="P3" s="5" t="s">
        <v>14</v>
      </c>
      <c r="Q3" s="5" t="s">
        <v>15</v>
      </c>
      <c r="R3" s="5" t="s">
        <v>16</v>
      </c>
      <c r="S3" s="5" t="s">
        <v>17</v>
      </c>
      <c r="U3" s="5" t="s">
        <v>18</v>
      </c>
      <c r="V3" s="5" t="s">
        <v>19</v>
      </c>
    </row>
    <row r="4" customFormat="false" ht="15" hidden="false" customHeight="false" outlineLevel="0" collapsed="false">
      <c r="B4" s="6" t="n">
        <v>1</v>
      </c>
      <c r="C4" s="7" t="s">
        <v>20</v>
      </c>
      <c r="D4" s="7" t="s">
        <v>21</v>
      </c>
      <c r="E4" s="7" t="s">
        <v>22</v>
      </c>
      <c r="F4" s="7" t="s">
        <v>23</v>
      </c>
      <c r="G4" s="7"/>
      <c r="L4" s="8" t="s">
        <v>23</v>
      </c>
      <c r="M4" s="9" t="n">
        <f aca="false">COUNTIF($G$4:$G$53, "Anggitya")</f>
        <v>0</v>
      </c>
      <c r="N4" s="9" t="n">
        <f aca="false">COUNTIFS($F$4:$F$53, "Anggitya", $G$4:$G$53, "Anggitya")</f>
        <v>0</v>
      </c>
      <c r="O4" s="9" t="n">
        <f aca="false">COUNTIFS($F$4:$F$53, "&lt;&gt;Anggitya", $G$4:$G$53, "Anggitya")</f>
        <v>0</v>
      </c>
      <c r="P4" s="9" t="n">
        <f aca="false">COUNTIFS($F$4:$F$53, "Anggitya", $G$4:$G$53, "&lt;&gt;Anggitya")</f>
        <v>10</v>
      </c>
      <c r="Q4" s="9" t="n">
        <f aca="false">IFERROR((N4-0.5*P4)/COUNTIFS($F$4:$F$53, "Anggitya")*100, 0)</f>
        <v>-50</v>
      </c>
      <c r="R4" s="9" t="n">
        <f aca="false">IFERROR((2*O4)/COUNTIFS($F$4:$F$53, "&lt;&gt;Anggitya")*100, 0)</f>
        <v>0</v>
      </c>
      <c r="S4" s="9" t="n">
        <f aca="false">Q4*0.7+R4*0.3</f>
        <v>-35</v>
      </c>
      <c r="U4" s="9" t="n">
        <f aca="false">COUNTIFS($F$4:$F$53, "Anggitya")</f>
        <v>10</v>
      </c>
      <c r="V4" s="9" t="n">
        <f aca="false">50-U4</f>
        <v>40</v>
      </c>
    </row>
    <row r="5" customFormat="false" ht="15" hidden="false" customHeight="false" outlineLevel="0" collapsed="false">
      <c r="B5" s="6" t="n">
        <v>2</v>
      </c>
      <c r="C5" s="7" t="s">
        <v>24</v>
      </c>
      <c r="D5" s="7" t="s">
        <v>25</v>
      </c>
      <c r="E5" s="7" t="s">
        <v>22</v>
      </c>
      <c r="F5" s="7" t="s">
        <v>23</v>
      </c>
      <c r="G5" s="7"/>
      <c r="L5" s="8" t="s">
        <v>26</v>
      </c>
      <c r="M5" s="9" t="n">
        <f aca="false">COUNTIF($G$4:$G$53, "Jak")</f>
        <v>0</v>
      </c>
      <c r="N5" s="9" t="n">
        <f aca="false">COUNTIFS($F$4:$F$53, "Jak", $G$4:$G$53, "Jak")</f>
        <v>0</v>
      </c>
      <c r="O5" s="9" t="n">
        <f aca="false">COUNTIFS($F$4:$F$53, "&lt;&gt;Jak", $G$4:$G$53, "Jak")</f>
        <v>0</v>
      </c>
      <c r="P5" s="9" t="n">
        <f aca="false">COUNTIFS($F$4:$F$53, "Jak", $G$4:$G$53, "&lt;&gt;Jak")</f>
        <v>10</v>
      </c>
      <c r="Q5" s="9" t="n">
        <f aca="false">IFERROR((N5-0.5*P5)/COUNTIFS($F$4:$F$53, "Jak")*100, 0)</f>
        <v>-50</v>
      </c>
      <c r="R5" s="9" t="n">
        <f aca="false">IFERROR((2*O5)/COUNTIFS($F$4:$F$53, "&lt;&gt;Jak")*100, 0)</f>
        <v>0</v>
      </c>
      <c r="S5" s="9" t="n">
        <f aca="false">Q5*0.7+R5*0.3</f>
        <v>-35</v>
      </c>
      <c r="U5" s="9" t="n">
        <f aca="false">COUNTIFS($F$4:$F$53, "Jak")</f>
        <v>10</v>
      </c>
      <c r="V5" s="9" t="n">
        <f aca="false">50-U5</f>
        <v>40</v>
      </c>
    </row>
    <row r="6" customFormat="false" ht="15" hidden="false" customHeight="false" outlineLevel="0" collapsed="false">
      <c r="B6" s="6" t="n">
        <v>3</v>
      </c>
      <c r="C6" s="7" t="s">
        <v>27</v>
      </c>
      <c r="D6" s="7" t="s">
        <v>28</v>
      </c>
      <c r="E6" s="7" t="s">
        <v>29</v>
      </c>
      <c r="F6" s="7"/>
      <c r="G6" s="7"/>
      <c r="L6" s="8" t="s">
        <v>30</v>
      </c>
      <c r="M6" s="9" t="n">
        <f aca="false">COUNTIF($G$4:$G$53, "Maulidan")</f>
        <v>0</v>
      </c>
      <c r="N6" s="9" t="n">
        <f aca="false">COUNTIFS($F$4:$F$53, "Maulidan", $G$4:$G$53, "Maulidan")</f>
        <v>0</v>
      </c>
      <c r="O6" s="9" t="n">
        <f aca="false">COUNTIFS($F$4:$F$53, "&lt;&gt;Maulidan", $G$4:$G$53, "Maulidan")</f>
        <v>0</v>
      </c>
      <c r="P6" s="9" t="n">
        <f aca="false">COUNTIFS($F$4:$F$53, "Maulidan", $G$4:$G$53, "&lt;&gt;Maulidan")</f>
        <v>10</v>
      </c>
      <c r="Q6" s="9" t="n">
        <f aca="false">IFERROR((N6-0.5*P6)/COUNTIFS($F$4:$F$53, "Maulidan")*100, 0)</f>
        <v>-50</v>
      </c>
      <c r="R6" s="9" t="n">
        <f aca="false">IFERROR((2*O6)/COUNTIFS($F$4:$F$53, "&lt;&gt;Maulidan")*100, 0)</f>
        <v>0</v>
      </c>
      <c r="S6" s="9" t="n">
        <f aca="false">Q6*0.7+R6*0.3</f>
        <v>-35</v>
      </c>
      <c r="U6" s="9" t="n">
        <f aca="false">COUNTIFS($F$4:$F$53, "Maulidan")</f>
        <v>10</v>
      </c>
      <c r="V6" s="9" t="n">
        <f aca="false">50-U6</f>
        <v>40</v>
      </c>
    </row>
    <row r="7" customFormat="false" ht="15" hidden="false" customHeight="false" outlineLevel="0" collapsed="false">
      <c r="B7" s="6" t="n">
        <v>4</v>
      </c>
      <c r="C7" s="7" t="s">
        <v>31</v>
      </c>
      <c r="D7" s="7" t="s">
        <v>32</v>
      </c>
      <c r="E7" s="7" t="s">
        <v>33</v>
      </c>
      <c r="F7" s="7" t="s">
        <v>30</v>
      </c>
      <c r="G7" s="7"/>
      <c r="L7" s="8" t="s">
        <v>34</v>
      </c>
      <c r="M7" s="9" t="n">
        <f aca="false">COUNTIF($G$4:$G$53, "Steven")</f>
        <v>0</v>
      </c>
      <c r="N7" s="9" t="n">
        <f aca="false">COUNTIFS($F$4:$F$53, "Steven", $G$4:$G$53, "Steven")</f>
        <v>0</v>
      </c>
      <c r="O7" s="9" t="n">
        <f aca="false">COUNTIFS($F$4:$F$53, "&lt;&gt;Steven", $G$4:$G$53, "Steven")</f>
        <v>0</v>
      </c>
      <c r="P7" s="9" t="n">
        <f aca="false">COUNTIFS($F$4:$F$53, "Steven", $G$4:$G$53, "&lt;&gt;Steven")</f>
        <v>10</v>
      </c>
      <c r="Q7" s="9" t="n">
        <f aca="false">IFERROR((N7-0.5*P7)/COUNTIFS($F$4:$F$53, "Steven")*100, 0)</f>
        <v>-50</v>
      </c>
      <c r="R7" s="9" t="n">
        <f aca="false">IFERROR((2*O7)/COUNTIFS($F$4:$F$53, "&lt;&gt;Steven")*100, 0)</f>
        <v>0</v>
      </c>
      <c r="S7" s="9" t="n">
        <f aca="false">Q7*0.7+R7*0.3</f>
        <v>-35</v>
      </c>
      <c r="U7" s="9" t="n">
        <f aca="false">COUNTIFS($F$4:$F$53, "Steven")</f>
        <v>10</v>
      </c>
      <c r="V7" s="9" t="n">
        <f aca="false">50-U7</f>
        <v>40</v>
      </c>
    </row>
    <row r="8" customFormat="false" ht="15" hidden="false" customHeight="false" outlineLevel="0" collapsed="false">
      <c r="B8" s="6" t="n">
        <v>5</v>
      </c>
      <c r="C8" s="7" t="s">
        <v>35</v>
      </c>
      <c r="D8" s="7" t="s">
        <v>36</v>
      </c>
      <c r="E8" s="7" t="s">
        <v>37</v>
      </c>
      <c r="F8" s="7" t="s">
        <v>34</v>
      </c>
      <c r="G8" s="7"/>
    </row>
    <row r="9" customFormat="false" ht="15" hidden="false" customHeight="false" outlineLevel="0" collapsed="false">
      <c r="B9" s="6" t="n">
        <v>6</v>
      </c>
      <c r="C9" s="7" t="s">
        <v>38</v>
      </c>
      <c r="D9" s="7" t="s">
        <v>39</v>
      </c>
      <c r="E9" s="7" t="s">
        <v>29</v>
      </c>
      <c r="F9" s="7"/>
      <c r="G9" s="7"/>
    </row>
    <row r="10" customFormat="false" ht="15" hidden="false" customHeight="false" outlineLevel="0" collapsed="false">
      <c r="B10" s="6" t="n">
        <v>7</v>
      </c>
      <c r="C10" s="7" t="s">
        <v>40</v>
      </c>
      <c r="D10" s="7" t="s">
        <v>41</v>
      </c>
      <c r="E10" s="7" t="s">
        <v>42</v>
      </c>
      <c r="F10" s="7" t="s">
        <v>26</v>
      </c>
      <c r="G10" s="7"/>
    </row>
    <row r="11" customFormat="false" ht="15" hidden="false" customHeight="false" outlineLevel="0" collapsed="false">
      <c r="B11" s="6" t="n">
        <v>8</v>
      </c>
      <c r="C11" s="7" t="s">
        <v>43</v>
      </c>
      <c r="D11" s="7" t="s">
        <v>44</v>
      </c>
      <c r="E11" s="7" t="s">
        <v>45</v>
      </c>
      <c r="F11" s="7" t="s">
        <v>23</v>
      </c>
      <c r="G11" s="7"/>
    </row>
    <row r="12" customFormat="false" ht="15" hidden="false" customHeight="false" outlineLevel="0" collapsed="false">
      <c r="B12" s="6" t="n">
        <v>9</v>
      </c>
      <c r="C12" s="7" t="s">
        <v>46</v>
      </c>
      <c r="D12" s="7" t="s">
        <v>47</v>
      </c>
      <c r="E12" s="7" t="s">
        <v>37</v>
      </c>
      <c r="F12" s="7" t="s">
        <v>34</v>
      </c>
      <c r="G12" s="7"/>
    </row>
    <row r="13" customFormat="false" ht="15" hidden="false" customHeight="false" outlineLevel="0" collapsed="false">
      <c r="B13" s="6" t="n">
        <v>10</v>
      </c>
      <c r="C13" s="7" t="s">
        <v>48</v>
      </c>
      <c r="D13" s="7" t="s">
        <v>49</v>
      </c>
      <c r="E13" s="7" t="s">
        <v>50</v>
      </c>
      <c r="F13" s="7" t="s">
        <v>30</v>
      </c>
      <c r="G13" s="7"/>
    </row>
    <row r="14" customFormat="false" ht="15" hidden="false" customHeight="false" outlineLevel="0" collapsed="false">
      <c r="B14" s="6" t="n">
        <v>11</v>
      </c>
      <c r="C14" s="7" t="s">
        <v>51</v>
      </c>
      <c r="D14" s="7" t="s">
        <v>52</v>
      </c>
      <c r="E14" s="7" t="s">
        <v>53</v>
      </c>
      <c r="F14" s="7" t="s">
        <v>30</v>
      </c>
      <c r="G14" s="7"/>
    </row>
    <row r="15" customFormat="false" ht="15" hidden="false" customHeight="false" outlineLevel="0" collapsed="false">
      <c r="B15" s="6" t="n">
        <v>12</v>
      </c>
      <c r="C15" s="7" t="s">
        <v>54</v>
      </c>
      <c r="D15" s="7" t="s">
        <v>55</v>
      </c>
      <c r="E15" s="7" t="s">
        <v>22</v>
      </c>
      <c r="F15" s="7" t="s">
        <v>23</v>
      </c>
      <c r="G15" s="7"/>
    </row>
    <row r="16" customFormat="false" ht="15" hidden="false" customHeight="false" outlineLevel="0" collapsed="false">
      <c r="B16" s="6" t="n">
        <v>13</v>
      </c>
      <c r="C16" s="7" t="s">
        <v>56</v>
      </c>
      <c r="D16" s="7" t="s">
        <v>57</v>
      </c>
      <c r="E16" s="7" t="s">
        <v>45</v>
      </c>
      <c r="F16" s="7" t="s">
        <v>23</v>
      </c>
      <c r="G16" s="7"/>
    </row>
    <row r="17" customFormat="false" ht="15" hidden="false" customHeight="false" outlineLevel="0" collapsed="false">
      <c r="B17" s="6" t="n">
        <v>14</v>
      </c>
      <c r="C17" s="7" t="s">
        <v>58</v>
      </c>
      <c r="D17" s="7" t="s">
        <v>59</v>
      </c>
      <c r="E17" s="7" t="s">
        <v>53</v>
      </c>
      <c r="F17" s="7" t="s">
        <v>30</v>
      </c>
      <c r="G17" s="7"/>
    </row>
    <row r="18" customFormat="false" ht="15" hidden="false" customHeight="false" outlineLevel="0" collapsed="false">
      <c r="B18" s="6" t="n">
        <v>15</v>
      </c>
      <c r="C18" s="7" t="s">
        <v>60</v>
      </c>
      <c r="D18" s="7" t="s">
        <v>61</v>
      </c>
      <c r="E18" s="7" t="s">
        <v>62</v>
      </c>
      <c r="F18" s="7" t="s">
        <v>34</v>
      </c>
      <c r="G18" s="7"/>
    </row>
    <row r="19" customFormat="false" ht="15" hidden="false" customHeight="false" outlineLevel="0" collapsed="false">
      <c r="B19" s="6" t="n">
        <v>16</v>
      </c>
      <c r="C19" s="7" t="s">
        <v>63</v>
      </c>
      <c r="D19" s="7" t="s">
        <v>64</v>
      </c>
      <c r="E19" s="7" t="s">
        <v>65</v>
      </c>
      <c r="F19" s="7" t="s">
        <v>26</v>
      </c>
      <c r="G19" s="7"/>
    </row>
    <row r="20" customFormat="false" ht="15" hidden="false" customHeight="false" outlineLevel="0" collapsed="false">
      <c r="B20" s="6" t="n">
        <v>17</v>
      </c>
      <c r="C20" s="7" t="s">
        <v>66</v>
      </c>
      <c r="D20" s="7" t="s">
        <v>67</v>
      </c>
      <c r="E20" s="7" t="s">
        <v>68</v>
      </c>
      <c r="F20" s="7" t="s">
        <v>26</v>
      </c>
      <c r="G20" s="7"/>
    </row>
    <row r="21" customFormat="false" ht="15" hidden="false" customHeight="false" outlineLevel="0" collapsed="false">
      <c r="B21" s="6" t="n">
        <v>18</v>
      </c>
      <c r="C21" s="7" t="s">
        <v>69</v>
      </c>
      <c r="D21" s="7" t="s">
        <v>70</v>
      </c>
      <c r="E21" s="7" t="s">
        <v>62</v>
      </c>
      <c r="F21" s="7" t="s">
        <v>34</v>
      </c>
      <c r="G21" s="7"/>
    </row>
    <row r="22" customFormat="false" ht="15" hidden="false" customHeight="false" outlineLevel="0" collapsed="false">
      <c r="B22" s="6" t="n">
        <v>19</v>
      </c>
      <c r="C22" s="7" t="s">
        <v>71</v>
      </c>
      <c r="D22" s="7" t="s">
        <v>72</v>
      </c>
      <c r="E22" s="7" t="s">
        <v>29</v>
      </c>
      <c r="F22" s="7"/>
      <c r="G22" s="7"/>
    </row>
    <row r="23" customFormat="false" ht="15" hidden="false" customHeight="false" outlineLevel="0" collapsed="false">
      <c r="B23" s="6" t="n">
        <v>20</v>
      </c>
      <c r="C23" s="7" t="s">
        <v>73</v>
      </c>
      <c r="D23" s="7" t="s">
        <v>74</v>
      </c>
      <c r="E23" s="7" t="s">
        <v>29</v>
      </c>
      <c r="F23" s="7"/>
      <c r="G23" s="7"/>
    </row>
    <row r="24" customFormat="false" ht="15" hidden="false" customHeight="false" outlineLevel="0" collapsed="false">
      <c r="B24" s="6" t="n">
        <v>21</v>
      </c>
      <c r="C24" s="7" t="s">
        <v>75</v>
      </c>
      <c r="D24" s="7" t="s">
        <v>76</v>
      </c>
      <c r="E24" s="7" t="s">
        <v>29</v>
      </c>
      <c r="F24" s="7"/>
      <c r="G24" s="7"/>
    </row>
    <row r="25" customFormat="false" ht="15" hidden="false" customHeight="false" outlineLevel="0" collapsed="false">
      <c r="B25" s="6" t="n">
        <v>22</v>
      </c>
      <c r="C25" s="7" t="s">
        <v>77</v>
      </c>
      <c r="D25" s="7" t="s">
        <v>78</v>
      </c>
      <c r="E25" s="7" t="s">
        <v>33</v>
      </c>
      <c r="F25" s="7" t="s">
        <v>30</v>
      </c>
      <c r="G25" s="7"/>
    </row>
    <row r="26" customFormat="false" ht="15" hidden="false" customHeight="false" outlineLevel="0" collapsed="false">
      <c r="B26" s="6" t="n">
        <v>23</v>
      </c>
      <c r="C26" s="7" t="s">
        <v>79</v>
      </c>
      <c r="D26" s="7" t="s">
        <v>80</v>
      </c>
      <c r="E26" s="7" t="s">
        <v>81</v>
      </c>
      <c r="F26" s="7" t="s">
        <v>34</v>
      </c>
      <c r="G26" s="7"/>
    </row>
    <row r="27" customFormat="false" ht="15" hidden="false" customHeight="false" outlineLevel="0" collapsed="false">
      <c r="B27" s="6" t="n">
        <v>24</v>
      </c>
      <c r="C27" s="7" t="s">
        <v>82</v>
      </c>
      <c r="D27" s="7" t="s">
        <v>83</v>
      </c>
      <c r="E27" s="7" t="s">
        <v>42</v>
      </c>
      <c r="F27" s="7" t="s">
        <v>26</v>
      </c>
      <c r="G27" s="7"/>
    </row>
    <row r="28" customFormat="false" ht="15" hidden="false" customHeight="false" outlineLevel="0" collapsed="false">
      <c r="B28" s="6" t="n">
        <v>25</v>
      </c>
      <c r="C28" s="7" t="s">
        <v>84</v>
      </c>
      <c r="D28" s="7" t="s">
        <v>85</v>
      </c>
      <c r="E28" s="7" t="s">
        <v>86</v>
      </c>
      <c r="F28" s="7" t="s">
        <v>30</v>
      </c>
      <c r="G28" s="7"/>
    </row>
    <row r="29" customFormat="false" ht="15" hidden="false" customHeight="false" outlineLevel="0" collapsed="false">
      <c r="B29" s="6" t="n">
        <v>26</v>
      </c>
      <c r="C29" s="7" t="s">
        <v>87</v>
      </c>
      <c r="D29" s="7" t="s">
        <v>88</v>
      </c>
      <c r="E29" s="7" t="s">
        <v>37</v>
      </c>
      <c r="F29" s="7" t="s">
        <v>34</v>
      </c>
      <c r="G29" s="7"/>
    </row>
    <row r="30" customFormat="false" ht="15" hidden="false" customHeight="false" outlineLevel="0" collapsed="false">
      <c r="B30" s="6" t="n">
        <v>27</v>
      </c>
      <c r="C30" s="7" t="s">
        <v>89</v>
      </c>
      <c r="D30" s="7" t="s">
        <v>90</v>
      </c>
      <c r="E30" s="7" t="s">
        <v>50</v>
      </c>
      <c r="F30" s="7" t="s">
        <v>30</v>
      </c>
      <c r="G30" s="7"/>
    </row>
    <row r="31" customFormat="false" ht="15" hidden="false" customHeight="false" outlineLevel="0" collapsed="false">
      <c r="B31" s="6" t="n">
        <v>28</v>
      </c>
      <c r="C31" s="7" t="s">
        <v>91</v>
      </c>
      <c r="D31" s="7" t="s">
        <v>92</v>
      </c>
      <c r="E31" s="7" t="s">
        <v>45</v>
      </c>
      <c r="F31" s="7" t="s">
        <v>23</v>
      </c>
      <c r="G31" s="7"/>
    </row>
    <row r="32" customFormat="false" ht="15" hidden="false" customHeight="false" outlineLevel="0" collapsed="false">
      <c r="B32" s="6" t="n">
        <v>29</v>
      </c>
      <c r="C32" s="7" t="s">
        <v>93</v>
      </c>
      <c r="D32" s="7" t="s">
        <v>94</v>
      </c>
      <c r="E32" s="7" t="s">
        <v>29</v>
      </c>
      <c r="F32" s="7"/>
      <c r="G32" s="7"/>
    </row>
    <row r="33" customFormat="false" ht="15" hidden="false" customHeight="false" outlineLevel="0" collapsed="false">
      <c r="B33" s="6" t="n">
        <v>30</v>
      </c>
      <c r="C33" s="7" t="s">
        <v>95</v>
      </c>
      <c r="D33" s="7" t="s">
        <v>96</v>
      </c>
      <c r="E33" s="7" t="s">
        <v>29</v>
      </c>
      <c r="F33" s="7"/>
      <c r="G33" s="7"/>
    </row>
    <row r="34" customFormat="false" ht="15" hidden="false" customHeight="false" outlineLevel="0" collapsed="false">
      <c r="B34" s="6" t="n">
        <v>31</v>
      </c>
      <c r="C34" s="7" t="s">
        <v>97</v>
      </c>
      <c r="D34" s="7" t="s">
        <v>98</v>
      </c>
      <c r="E34" s="7" t="s">
        <v>62</v>
      </c>
      <c r="F34" s="7" t="s">
        <v>34</v>
      </c>
      <c r="G34" s="7"/>
    </row>
    <row r="35" customFormat="false" ht="15" hidden="false" customHeight="false" outlineLevel="0" collapsed="false">
      <c r="B35" s="6" t="n">
        <v>32</v>
      </c>
      <c r="C35" s="7" t="s">
        <v>99</v>
      </c>
      <c r="D35" s="7" t="s">
        <v>100</v>
      </c>
      <c r="E35" s="7" t="s">
        <v>101</v>
      </c>
      <c r="F35" s="7" t="s">
        <v>34</v>
      </c>
      <c r="G35" s="7"/>
    </row>
    <row r="36" customFormat="false" ht="15" hidden="false" customHeight="false" outlineLevel="0" collapsed="false">
      <c r="B36" s="6" t="n">
        <v>33</v>
      </c>
      <c r="C36" s="7" t="s">
        <v>102</v>
      </c>
      <c r="D36" s="7" t="s">
        <v>103</v>
      </c>
      <c r="E36" s="7" t="s">
        <v>29</v>
      </c>
      <c r="F36" s="7"/>
      <c r="G36" s="7"/>
    </row>
    <row r="37" customFormat="false" ht="15" hidden="false" customHeight="false" outlineLevel="0" collapsed="false">
      <c r="B37" s="6" t="n">
        <v>34</v>
      </c>
      <c r="C37" s="7" t="s">
        <v>104</v>
      </c>
      <c r="D37" s="7" t="s">
        <v>105</v>
      </c>
      <c r="E37" s="7" t="s">
        <v>45</v>
      </c>
      <c r="F37" s="7" t="s">
        <v>23</v>
      </c>
      <c r="G37" s="7"/>
    </row>
    <row r="38" customFormat="false" ht="15" hidden="false" customHeight="false" outlineLevel="0" collapsed="false">
      <c r="B38" s="6" t="n">
        <v>35</v>
      </c>
      <c r="C38" s="7" t="s">
        <v>106</v>
      </c>
      <c r="D38" s="7" t="s">
        <v>107</v>
      </c>
      <c r="E38" s="7" t="s">
        <v>108</v>
      </c>
      <c r="F38" s="7" t="s">
        <v>23</v>
      </c>
      <c r="G38" s="7"/>
    </row>
    <row r="39" customFormat="false" ht="15" hidden="false" customHeight="false" outlineLevel="0" collapsed="false">
      <c r="B39" s="6" t="n">
        <v>36</v>
      </c>
      <c r="C39" s="7" t="s">
        <v>109</v>
      </c>
      <c r="D39" s="7" t="s">
        <v>110</v>
      </c>
      <c r="E39" s="7" t="s">
        <v>111</v>
      </c>
      <c r="F39" s="7" t="s">
        <v>26</v>
      </c>
      <c r="G39" s="7"/>
    </row>
    <row r="40" customFormat="false" ht="15" hidden="false" customHeight="false" outlineLevel="0" collapsed="false">
      <c r="B40" s="6" t="n">
        <v>37</v>
      </c>
      <c r="C40" s="7" t="s">
        <v>112</v>
      </c>
      <c r="D40" s="7" t="s">
        <v>113</v>
      </c>
      <c r="E40" s="7" t="s">
        <v>29</v>
      </c>
      <c r="F40" s="7"/>
      <c r="G40" s="7"/>
    </row>
    <row r="41" customFormat="false" ht="15" hidden="false" customHeight="false" outlineLevel="0" collapsed="false">
      <c r="B41" s="6" t="n">
        <v>38</v>
      </c>
      <c r="C41" s="7" t="s">
        <v>114</v>
      </c>
      <c r="D41" s="7" t="s">
        <v>115</v>
      </c>
      <c r="E41" s="7" t="s">
        <v>101</v>
      </c>
      <c r="F41" s="7" t="s">
        <v>34</v>
      </c>
      <c r="G41" s="7"/>
    </row>
    <row r="42" customFormat="false" ht="15" hidden="false" customHeight="false" outlineLevel="0" collapsed="false">
      <c r="B42" s="6" t="n">
        <v>39</v>
      </c>
      <c r="C42" s="7" t="s">
        <v>116</v>
      </c>
      <c r="D42" s="7" t="s">
        <v>117</v>
      </c>
      <c r="E42" s="7" t="s">
        <v>65</v>
      </c>
      <c r="F42" s="7" t="s">
        <v>26</v>
      </c>
      <c r="G42" s="7"/>
    </row>
    <row r="43" customFormat="false" ht="15" hidden="false" customHeight="false" outlineLevel="0" collapsed="false">
      <c r="B43" s="6" t="n">
        <v>40</v>
      </c>
      <c r="C43" s="7" t="s">
        <v>118</v>
      </c>
      <c r="D43" s="7" t="s">
        <v>119</v>
      </c>
      <c r="E43" s="7" t="s">
        <v>22</v>
      </c>
      <c r="F43" s="7" t="s">
        <v>23</v>
      </c>
      <c r="G43" s="7"/>
    </row>
    <row r="44" customFormat="false" ht="15" hidden="false" customHeight="false" outlineLevel="0" collapsed="false">
      <c r="B44" s="6" t="n">
        <v>41</v>
      </c>
      <c r="C44" s="7" t="s">
        <v>120</v>
      </c>
      <c r="D44" s="7" t="s">
        <v>121</v>
      </c>
      <c r="E44" s="7" t="s">
        <v>111</v>
      </c>
      <c r="F44" s="7" t="s">
        <v>26</v>
      </c>
      <c r="G44" s="7"/>
    </row>
    <row r="45" customFormat="false" ht="15" hidden="false" customHeight="false" outlineLevel="0" collapsed="false">
      <c r="B45" s="6" t="n">
        <v>42</v>
      </c>
      <c r="C45" s="7" t="s">
        <v>122</v>
      </c>
      <c r="D45" s="7" t="s">
        <v>123</v>
      </c>
      <c r="E45" s="7" t="s">
        <v>37</v>
      </c>
      <c r="F45" s="7" t="s">
        <v>34</v>
      </c>
      <c r="G45" s="7"/>
    </row>
    <row r="46" customFormat="false" ht="15" hidden="false" customHeight="false" outlineLevel="0" collapsed="false">
      <c r="B46" s="6" t="n">
        <v>43</v>
      </c>
      <c r="C46" s="7" t="s">
        <v>124</v>
      </c>
      <c r="D46" s="7" t="s">
        <v>125</v>
      </c>
      <c r="E46" s="7" t="s">
        <v>111</v>
      </c>
      <c r="F46" s="7" t="s">
        <v>26</v>
      </c>
      <c r="G46" s="7"/>
    </row>
    <row r="47" customFormat="false" ht="15" hidden="false" customHeight="false" outlineLevel="0" collapsed="false">
      <c r="B47" s="6" t="n">
        <v>44</v>
      </c>
      <c r="C47" s="7" t="s">
        <v>126</v>
      </c>
      <c r="D47" s="7" t="s">
        <v>127</v>
      </c>
      <c r="E47" s="7" t="s">
        <v>33</v>
      </c>
      <c r="F47" s="7" t="s">
        <v>30</v>
      </c>
      <c r="G47" s="7"/>
    </row>
    <row r="48" customFormat="false" ht="15" hidden="false" customHeight="false" outlineLevel="0" collapsed="false">
      <c r="B48" s="6" t="n">
        <v>45</v>
      </c>
      <c r="C48" s="7" t="s">
        <v>128</v>
      </c>
      <c r="D48" s="7" t="s">
        <v>129</v>
      </c>
      <c r="E48" s="7" t="s">
        <v>29</v>
      </c>
      <c r="F48" s="7"/>
      <c r="G48" s="7"/>
    </row>
    <row r="49" customFormat="false" ht="15" hidden="false" customHeight="false" outlineLevel="0" collapsed="false">
      <c r="B49" s="6" t="n">
        <v>46</v>
      </c>
      <c r="C49" s="7" t="s">
        <v>130</v>
      </c>
      <c r="D49" s="7" t="s">
        <v>131</v>
      </c>
      <c r="E49" s="7" t="s">
        <v>68</v>
      </c>
      <c r="F49" s="7" t="s">
        <v>26</v>
      </c>
      <c r="G49" s="7"/>
    </row>
    <row r="50" customFormat="false" ht="15" hidden="false" customHeight="false" outlineLevel="0" collapsed="false">
      <c r="B50" s="6" t="n">
        <v>47</v>
      </c>
      <c r="C50" s="7" t="s">
        <v>132</v>
      </c>
      <c r="D50" s="7" t="s">
        <v>133</v>
      </c>
      <c r="E50" s="7" t="s">
        <v>42</v>
      </c>
      <c r="F50" s="7" t="s">
        <v>26</v>
      </c>
      <c r="G50" s="7"/>
    </row>
    <row r="51" customFormat="false" ht="15" hidden="false" customHeight="false" outlineLevel="0" collapsed="false">
      <c r="B51" s="6" t="n">
        <v>48</v>
      </c>
      <c r="C51" s="7" t="s">
        <v>134</v>
      </c>
      <c r="D51" s="7" t="s">
        <v>135</v>
      </c>
      <c r="E51" s="7" t="s">
        <v>136</v>
      </c>
      <c r="F51" s="7" t="s">
        <v>23</v>
      </c>
      <c r="G51" s="7"/>
    </row>
    <row r="52" customFormat="false" ht="15" hidden="false" customHeight="false" outlineLevel="0" collapsed="false">
      <c r="B52" s="6" t="n">
        <v>49</v>
      </c>
      <c r="C52" s="7" t="s">
        <v>137</v>
      </c>
      <c r="D52" s="7" t="s">
        <v>138</v>
      </c>
      <c r="E52" s="7" t="s">
        <v>139</v>
      </c>
      <c r="F52" s="7" t="s">
        <v>30</v>
      </c>
      <c r="G52" s="7"/>
    </row>
    <row r="53" customFormat="false" ht="15" hidden="false" customHeight="false" outlineLevel="0" collapsed="false">
      <c r="B53" s="6" t="n">
        <v>50</v>
      </c>
      <c r="C53" s="7" t="s">
        <v>140</v>
      </c>
      <c r="D53" s="7" t="s">
        <v>141</v>
      </c>
      <c r="E53" s="7" t="s">
        <v>139</v>
      </c>
      <c r="F53" s="7" t="s">
        <v>30</v>
      </c>
      <c r="G53" s="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2026-06-05T13:38:26Z</dcterms:created>
  <dc:creator>openpyxl</dc:creator>
  <dc:description/>
  <dc:language>en-US</dc:language>
  <cp:lastModifiedBy/>
  <dcterms:modified xsi:type="dcterms:W3CDTF">2026-06-05T13:38:26Z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